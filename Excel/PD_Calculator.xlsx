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 Calculator" sheetId="1" state="visible" r:id="rId1"/>
    <sheet xmlns:r="http://schemas.openxmlformats.org/officeDocument/2006/relationships" name="PD Sensitivity" sheetId="2" state="visible" r:id="rId2"/>
    <sheet xmlns:r="http://schemas.openxmlformats.org/officeDocument/2006/relationships" name="Read 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  <sz val="18"/>
    </font>
    <font>
      <b val="1"/>
    </font>
    <font>
      <b val="1"/>
      <sz val="16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0" fillId="0" borderId="1" pivotButton="0" quotePrefix="0" xfId="0"/>
    <xf numFmtId="10" fontId="0" fillId="2" borderId="1" pivotButton="0" quotePrefix="0" xfId="0"/>
    <xf numFmtId="0" fontId="0" fillId="3" borderId="1" pivotButton="0" quotePrefix="0" xfId="0"/>
    <xf numFmtId="0" fontId="0" fillId="0" borderId="0" applyAlignment="1" pivotButton="0" quotePrefix="0" xfId="0">
      <alignment wrapText="1"/>
    </xf>
    <xf numFmtId="0" fontId="3" fillId="0" borderId="0" pivotButton="0" quotePrefix="0" xfId="0"/>
    <xf numFmtId="16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28" customWidth="1" min="1" max="1"/>
    <col width="34" customWidth="1" min="2" max="2"/>
    <col width="20" customWidth="1" min="3" max="3"/>
  </cols>
  <sheetData>
    <row r="1">
      <c r="A1" s="1" t="inlineStr">
        <is>
          <t>Retail Credit Risk — PD Calculator</t>
        </is>
      </c>
    </row>
    <row r="3">
      <c r="A3" s="2" t="inlineStr">
        <is>
          <t>Credit Score</t>
        </is>
      </c>
      <c r="B3" s="3" t="n">
        <v>700</v>
      </c>
      <c r="C3" t="inlineStr">
        <is>
          <t>450–850</t>
        </is>
      </c>
    </row>
    <row r="4">
      <c r="A4" s="2" t="inlineStr">
        <is>
          <t>DTI %</t>
        </is>
      </c>
      <c r="B4" s="3" t="n">
        <v>35</v>
      </c>
      <c r="C4" t="inlineStr">
        <is>
          <t>0–100</t>
        </is>
      </c>
    </row>
    <row r="5">
      <c r="A5" s="2" t="inlineStr">
        <is>
          <t>LTV %</t>
        </is>
      </c>
      <c r="B5" s="3" t="n">
        <v>70</v>
      </c>
      <c r="C5" t="inlineStr">
        <is>
          <t>0–150</t>
        </is>
      </c>
    </row>
    <row r="6">
      <c r="A6" s="2" t="inlineStr">
        <is>
          <t>Prior Delinquencies</t>
        </is>
      </c>
      <c r="B6" s="3" t="n">
        <v>0</v>
      </c>
      <c r="C6" t="inlineStr">
        <is>
          <t>0+</t>
        </is>
      </c>
    </row>
    <row r="7">
      <c r="A7" s="2" t="inlineStr">
        <is>
          <t>Existing Loans</t>
        </is>
      </c>
      <c r="B7" s="3" t="n">
        <v>1</v>
      </c>
      <c r="C7" t="inlineStr">
        <is>
          <t>0+</t>
        </is>
      </c>
    </row>
    <row r="8">
      <c r="A8" s="2" t="inlineStr">
        <is>
          <t>Employment Years</t>
        </is>
      </c>
      <c r="B8" s="3" t="n">
        <v>5</v>
      </c>
      <c r="C8" t="inlineStr">
        <is>
          <t>0+</t>
        </is>
      </c>
    </row>
    <row r="9">
      <c r="A9" s="2" t="inlineStr">
        <is>
          <t>Loan Amount</t>
        </is>
      </c>
      <c r="B9" s="3" t="n">
        <v>500000</v>
      </c>
      <c r="C9" t="inlineStr">
        <is>
          <t>Currency</t>
        </is>
      </c>
    </row>
    <row r="10">
      <c r="A10" s="2" t="inlineStr">
        <is>
          <t>Annual Income</t>
        </is>
      </c>
      <c r="B10" s="3" t="n">
        <v>800000</v>
      </c>
      <c r="C10" t="inlineStr">
        <is>
          <t>Currency</t>
        </is>
      </c>
    </row>
    <row r="11">
      <c r="A11" s="3" t="n"/>
      <c r="B11" s="3" t="n"/>
    </row>
    <row r="12">
      <c r="A12" s="3" t="n"/>
      <c r="B12" s="3" t="n"/>
    </row>
    <row r="13">
      <c r="A13" s="2" t="inlineStr">
        <is>
          <t>Estimated PD</t>
        </is>
      </c>
      <c r="B13" s="4">
        <f>1/(1+EXP(-(-4+0.010*(700-B3)+0.035*(B4-30)+0.018*(B5-70)+0.20*B6+0.18*B7-0.015*B8+0.000001*(B9/B10))))</f>
        <v/>
      </c>
    </row>
    <row r="14">
      <c r="A14" s="3" t="inlineStr">
        <is>
          <t>Risk Band</t>
        </is>
      </c>
      <c r="B14" s="5">
        <f>IF(B13&lt;5%,"Low",IF(B13&lt;10%,"Moderate",IF(B13&lt;20%,"High","Very High")))</f>
        <v/>
      </c>
    </row>
    <row r="15">
      <c r="A15" s="3" t="inlineStr">
        <is>
          <t>Decision Guidance</t>
        </is>
      </c>
      <c r="B15" s="3">
        <f>IF(B13&lt;5%,"Approve / standard monitoring",IF(B13&lt;10%,"Approve with controls",IF(B13&lt;20%,"Enhanced review","Manual review / decline per policy")))</f>
        <v/>
      </c>
    </row>
    <row r="17">
      <c r="A17" t="inlineStr">
        <is>
          <t>Note</t>
        </is>
      </c>
      <c r="B17" s="6" t="inlineStr">
        <is>
          <t>Illustrative PD formula for portfolio demonstration; not a regulated credit-decision model.</t>
        </is>
      </c>
    </row>
  </sheetData>
  <mergeCells count="1">
    <mergeCell ref="A1:D1"/>
  </mergeCells>
  <dataValidations count="2">
    <dataValidation sqref="B3" showDropDown="0" showInputMessage="0" showErrorMessage="0" allowBlank="0" type="whole" operator="between">
      <formula1>450</formula1>
      <formula2>850</formula2>
    </dataValidation>
    <dataValidation sqref="B4 B5" showDropDown="0" showInputMessage="0" showErrorMessage="0" allowBlank="0" type="decimal" operator="between">
      <formula1>0</formula1>
      <formula2>150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7" t="inlineStr">
        <is>
          <t>PD Sensitivity — Credit Score vs DTI</t>
        </is>
      </c>
    </row>
    <row r="3">
      <c r="A3" t="inlineStr">
        <is>
          <t>DTI \ Score</t>
        </is>
      </c>
      <c r="B3" t="n">
        <v>550</v>
      </c>
      <c r="C3" t="n">
        <v>600</v>
      </c>
      <c r="D3" t="n">
        <v>650</v>
      </c>
      <c r="E3" t="n">
        <v>700</v>
      </c>
      <c r="F3" t="n">
        <v>750</v>
      </c>
      <c r="G3" t="n">
        <v>800</v>
      </c>
    </row>
    <row r="4">
      <c r="A4" t="n">
        <v>20</v>
      </c>
      <c r="B4" s="8">
        <f>1/(1+EXP(-(-4+0.010*(700-B$3)+0.035*($A4-30)+0.018*(70-70)+0)))</f>
        <v/>
      </c>
      <c r="C4" s="8">
        <f>1/(1+EXP(-(-4+0.010*(700-C$3)+0.035*($A4-30)+0.018*(70-70)+0)))</f>
        <v/>
      </c>
      <c r="D4" s="8">
        <f>1/(1+EXP(-(-4+0.010*(700-D$3)+0.035*($A4-30)+0.018*(70-70)+0)))</f>
        <v/>
      </c>
      <c r="E4" s="8">
        <f>1/(1+EXP(-(-4+0.010*(700-E$3)+0.035*($A4-30)+0.018*(70-70)+0)))</f>
        <v/>
      </c>
      <c r="F4" s="8">
        <f>1/(1+EXP(-(-4+0.010*(700-F$3)+0.035*($A4-30)+0.018*(70-70)+0)))</f>
        <v/>
      </c>
      <c r="G4" s="8">
        <f>1/(1+EXP(-(-4+0.010*(700-G$3)+0.035*($A4-30)+0.018*(70-70)+0)))</f>
        <v/>
      </c>
    </row>
    <row r="5">
      <c r="A5" t="n">
        <v>30</v>
      </c>
      <c r="B5" s="8">
        <f>1/(1+EXP(-(-4+0.010*(700-B$3)+0.035*($A5-30)+0.018*(70-70)+0)))</f>
        <v/>
      </c>
      <c r="C5" s="8">
        <f>1/(1+EXP(-(-4+0.010*(700-C$3)+0.035*($A5-30)+0.018*(70-70)+0)))</f>
        <v/>
      </c>
      <c r="D5" s="8">
        <f>1/(1+EXP(-(-4+0.010*(700-D$3)+0.035*($A5-30)+0.018*(70-70)+0)))</f>
        <v/>
      </c>
      <c r="E5" s="8">
        <f>1/(1+EXP(-(-4+0.010*(700-E$3)+0.035*($A5-30)+0.018*(70-70)+0)))</f>
        <v/>
      </c>
      <c r="F5" s="8">
        <f>1/(1+EXP(-(-4+0.010*(700-F$3)+0.035*($A5-30)+0.018*(70-70)+0)))</f>
        <v/>
      </c>
      <c r="G5" s="8">
        <f>1/(1+EXP(-(-4+0.010*(700-G$3)+0.035*($A5-30)+0.018*(70-70)+0)))</f>
        <v/>
      </c>
    </row>
    <row r="6">
      <c r="A6" t="n">
        <v>40</v>
      </c>
      <c r="B6" s="8">
        <f>1/(1+EXP(-(-4+0.010*(700-B$3)+0.035*($A6-30)+0.018*(70-70)+0)))</f>
        <v/>
      </c>
      <c r="C6" s="8">
        <f>1/(1+EXP(-(-4+0.010*(700-C$3)+0.035*($A6-30)+0.018*(70-70)+0)))</f>
        <v/>
      </c>
      <c r="D6" s="8">
        <f>1/(1+EXP(-(-4+0.010*(700-D$3)+0.035*($A6-30)+0.018*(70-70)+0)))</f>
        <v/>
      </c>
      <c r="E6" s="8">
        <f>1/(1+EXP(-(-4+0.010*(700-E$3)+0.035*($A6-30)+0.018*(70-70)+0)))</f>
        <v/>
      </c>
      <c r="F6" s="8">
        <f>1/(1+EXP(-(-4+0.010*(700-F$3)+0.035*($A6-30)+0.018*(70-70)+0)))</f>
        <v/>
      </c>
      <c r="G6" s="8">
        <f>1/(1+EXP(-(-4+0.010*(700-G$3)+0.035*($A6-30)+0.018*(70-70)+0)))</f>
        <v/>
      </c>
    </row>
    <row r="7">
      <c r="A7" t="n">
        <v>50</v>
      </c>
      <c r="B7" s="8">
        <f>1/(1+EXP(-(-4+0.010*(700-B$3)+0.035*($A7-30)+0.018*(70-70)+0)))</f>
        <v/>
      </c>
      <c r="C7" s="8">
        <f>1/(1+EXP(-(-4+0.010*(700-C$3)+0.035*($A7-30)+0.018*(70-70)+0)))</f>
        <v/>
      </c>
      <c r="D7" s="8">
        <f>1/(1+EXP(-(-4+0.010*(700-D$3)+0.035*($A7-30)+0.018*(70-70)+0)))</f>
        <v/>
      </c>
      <c r="E7" s="8">
        <f>1/(1+EXP(-(-4+0.010*(700-E$3)+0.035*($A7-30)+0.018*(70-70)+0)))</f>
        <v/>
      </c>
      <c r="F7" s="8">
        <f>1/(1+EXP(-(-4+0.010*(700-F$3)+0.035*($A7-30)+0.018*(70-70)+0)))</f>
        <v/>
      </c>
      <c r="G7" s="8">
        <f>1/(1+EXP(-(-4+0.010*(700-G$3)+0.035*($A7-30)+0.018*(70-70)+0)))</f>
        <v/>
      </c>
    </row>
    <row r="8">
      <c r="A8" t="n">
        <v>60</v>
      </c>
      <c r="B8" s="8">
        <f>1/(1+EXP(-(-4+0.010*(700-B$3)+0.035*($A8-30)+0.018*(70-70)+0)))</f>
        <v/>
      </c>
      <c r="C8" s="8">
        <f>1/(1+EXP(-(-4+0.010*(700-C$3)+0.035*($A8-30)+0.018*(70-70)+0)))</f>
        <v/>
      </c>
      <c r="D8" s="8">
        <f>1/(1+EXP(-(-4+0.010*(700-D$3)+0.035*($A8-30)+0.018*(70-70)+0)))</f>
        <v/>
      </c>
      <c r="E8" s="8">
        <f>1/(1+EXP(-(-4+0.010*(700-E$3)+0.035*($A8-30)+0.018*(70-70)+0)))</f>
        <v/>
      </c>
      <c r="F8" s="8">
        <f>1/(1+EXP(-(-4+0.010*(700-F$3)+0.035*($A8-30)+0.018*(70-70)+0)))</f>
        <v/>
      </c>
      <c r="G8" s="8">
        <f>1/(1+EXP(-(-4+0.010*(700-G$3)+0.035*($A8-30)+0.018*(70-70)+0)))</f>
        <v/>
      </c>
    </row>
    <row r="9">
      <c r="A9" t="n">
        <v>70</v>
      </c>
      <c r="B9" s="8">
        <f>1/(1+EXP(-(-4+0.010*(700-B$3)+0.035*($A9-30)+0.018*(70-70)+0)))</f>
        <v/>
      </c>
      <c r="C9" s="8">
        <f>1/(1+EXP(-(-4+0.010*(700-C$3)+0.035*($A9-30)+0.018*(70-70)+0)))</f>
        <v/>
      </c>
      <c r="D9" s="8">
        <f>1/(1+EXP(-(-4+0.010*(700-D$3)+0.035*($A9-30)+0.018*(70-70)+0)))</f>
        <v/>
      </c>
      <c r="E9" s="8">
        <f>1/(1+EXP(-(-4+0.010*(700-E$3)+0.035*($A9-30)+0.018*(70-70)+0)))</f>
        <v/>
      </c>
      <c r="F9" s="8">
        <f>1/(1+EXP(-(-4+0.010*(700-F$3)+0.035*($A9-30)+0.018*(70-70)+0)))</f>
        <v/>
      </c>
      <c r="G9" s="8">
        <f>1/(1+EXP(-(-4+0.010*(700-G$3)+0.035*($A9-30)+0.018*(70-70)+0)))</f>
        <v/>
      </c>
    </row>
  </sheetData>
  <conditionalFormatting sqref="B4:G9">
    <cfRule type="colorScale" priority="1">
      <colorScale>
        <cfvo type="min"/>
        <cfvo type="percentile" val="50"/>
        <cfvo type="max"/>
        <color rgb="00E2F0D9"/>
        <color rgb="00FFF2CC"/>
        <color rgb="00F4CCCC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7" t="inlineStr">
        <is>
          <t>How to use</t>
        </is>
      </c>
    </row>
    <row r="3">
      <c r="A3" t="inlineStr">
        <is>
          <t>1. Enter applicant financial and credit attributes on the PD Calculator sheet.</t>
        </is>
      </c>
    </row>
    <row r="4">
      <c r="A4" t="inlineStr">
        <is>
          <t>2. Estimated PD updates automatically.</t>
        </is>
      </c>
    </row>
    <row r="5">
      <c r="A5" t="inlineStr">
        <is>
          <t>3. Risk band and decision guidance are generated from transparent thresholds.</t>
        </is>
      </c>
    </row>
    <row r="7">
      <c r="A7" s="9" t="inlineStr">
        <is>
          <t>Governance</t>
        </is>
      </c>
    </row>
    <row r="8">
      <c r="A8" s="6" t="inlineStr">
        <is>
          <t>This workbook is a portfolio demonstration using synthetic data. It is not a production underwriting model.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2026-08-10T11:33:28Z</dcterms:created>
  <dcterms:modified xmlns:dcterms="http://purl.org/dc/terms/" xmlns:xsi="http://www.w3.org/2001/XMLSchema-instance" xsi:type="dcterms:W3CDTF">2026-08-10T11:33:28Z</dcterms:modified>
</cp:coreProperties>
</file>